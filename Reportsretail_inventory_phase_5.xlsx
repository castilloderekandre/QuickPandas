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[Red]_($* (#,##0.00);_($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sz val="20"/>
    </font>
  </fonts>
  <fills count="3">
    <fill>
      <patternFill/>
    </fill>
    <fill>
      <patternFill patternType="gray125"/>
    </fill>
    <fill>
      <patternFill patternType="solid">
        <fgColor theme="0" tint="-0.05"/>
        <bgColor theme="0" tint="-0.0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4" fontId="0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6" customWidth="1" min="3" max="3"/>
    <col width="15" customWidth="1" min="4" max="4"/>
    <col width="15" customWidth="1" min="5" max="5"/>
    <col width="12" customWidth="1" min="6" max="6"/>
    <col width="10" customWidth="1" min="7" max="7"/>
    <col width="15" customWidth="1" min="8" max="8"/>
    <col width="14" customWidth="1" min="9" max="9"/>
    <col width="20" customWidth="1" min="10" max="10"/>
    <col width="7" customWidth="1" min="11" max="11"/>
    <col width="14" customWidth="1" min="12" max="12"/>
    <col width="14" customWidth="1" min="13" max="13"/>
    <col width="15" customWidth="1" min="14" max="14"/>
    <col width="15" customWidth="1" min="15" max="15"/>
    <col width="16" customWidth="1" min="16" max="16"/>
  </cols>
  <sheetData>
    <row r="1" ht="24" customHeight="1">
      <c r="A1" s="2" t="n"/>
      <c r="B1" s="3" t="inlineStr">
        <is>
          <t>LAST 6 OF VIN</t>
        </is>
      </c>
      <c r="C1" s="3" t="inlineStr">
        <is>
          <t>YEAR</t>
        </is>
      </c>
      <c r="D1" s="3" t="inlineStr">
        <is>
          <t>MAKE</t>
        </is>
      </c>
      <c r="E1" s="4" t="inlineStr">
        <is>
          <t>MODEL</t>
        </is>
      </c>
      <c r="F1" s="3" t="inlineStr">
        <is>
          <t>MILEAGE</t>
        </is>
      </c>
      <c r="G1" s="4" t="inlineStr">
        <is>
          <t>LOCATION</t>
        </is>
      </c>
      <c r="H1" s="5" t="inlineStr">
        <is>
          <t>INVENTORY ($)</t>
        </is>
      </c>
      <c r="I1" s="5" t="inlineStr">
        <is>
          <t>EXPENSES ($)</t>
        </is>
      </c>
      <c r="J1" s="6" t="inlineStr">
        <is>
          <t>TOTAL INVESTED ($)</t>
        </is>
      </c>
      <c r="K1" s="4" t="inlineStr">
        <is>
          <t>MISC.</t>
        </is>
      </c>
      <c r="L1" s="4" t="inlineStr">
        <is>
          <t>SOURCED FROM</t>
        </is>
      </c>
      <c r="M1" s="5" t="inlineStr">
        <is>
          <t>SRP ($)</t>
        </is>
      </c>
      <c r="N1" s="4" t="inlineStr">
        <is>
          <t>DATE RECEIVED</t>
        </is>
      </c>
      <c r="O1" s="4" t="inlineStr">
        <is>
          <t>OPEN INVOICE?</t>
        </is>
      </c>
      <c r="P1" s="3" t="inlineStr">
        <is>
          <t>AGE</t>
        </is>
      </c>
    </row>
    <row r="2" ht="24" customHeight="1">
      <c r="A2" s="7" t="n">
        <v>1</v>
      </c>
      <c r="B2" s="8" t="inlineStr">
        <is>
          <t>UB1204</t>
        </is>
      </c>
      <c r="C2" s="8" t="inlineStr">
        <is>
          <t>2023</t>
        </is>
      </c>
      <c r="D2" s="8" t="inlineStr">
        <is>
          <t>Freightliner</t>
        </is>
      </c>
      <c r="E2" s="9" t="inlineStr">
        <is>
          <t xml:space="preserve">Cascadia </t>
        </is>
      </c>
      <c r="F2" s="8" t="inlineStr">
        <is>
          <t xml:space="preserve"> ≈ 258,948</t>
        </is>
      </c>
      <c r="G2" s="9" t="n"/>
      <c r="H2" s="10" t="n">
        <v>74000</v>
      </c>
      <c r="I2" s="10" t="n">
        <v>0</v>
      </c>
      <c r="J2" s="11" t="n">
        <v>74000</v>
      </c>
      <c r="K2" s="9" t="n"/>
      <c r="L2" s="9" t="n"/>
      <c r="M2" s="10" t="n">
        <v>92000</v>
      </c>
      <c r="N2" s="9" t="n"/>
      <c r="O2" s="9" t="n"/>
      <c r="P2" s="8">
        <f>TODAY() - N2</f>
        <v/>
      </c>
    </row>
    <row r="3" ht="24" customHeight="1">
      <c r="A3" s="4" t="n">
        <v>2</v>
      </c>
      <c r="B3" s="3" t="inlineStr">
        <is>
          <t>NB8760</t>
        </is>
      </c>
      <c r="C3" s="3" t="inlineStr">
        <is>
          <t>2022</t>
        </is>
      </c>
      <c r="D3" s="3" t="inlineStr">
        <is>
          <t>Freightliner</t>
        </is>
      </c>
      <c r="E3" s="2" t="inlineStr">
        <is>
          <t xml:space="preserve">Cascadia </t>
        </is>
      </c>
      <c r="F3" s="3" t="inlineStr">
        <is>
          <t xml:space="preserve"> ≈321,661</t>
        </is>
      </c>
      <c r="G3" s="2" t="n"/>
      <c r="H3" s="12" t="n">
        <v>68000</v>
      </c>
      <c r="I3" s="12" t="n">
        <v>1384.49</v>
      </c>
      <c r="J3" s="6" t="n">
        <v>69384.49000000001</v>
      </c>
      <c r="K3" s="2" t="n"/>
      <c r="L3" s="2" t="n"/>
      <c r="M3" s="12" t="n">
        <v>82000</v>
      </c>
      <c r="N3" s="2" t="n"/>
      <c r="O3" s="2" t="n"/>
      <c r="P3" s="3">
        <f>TODAY() - N3</f>
        <v/>
      </c>
    </row>
    <row r="4" ht="24" customHeight="1">
      <c r="A4" s="7" t="n">
        <v>3</v>
      </c>
      <c r="B4" s="8" t="inlineStr">
        <is>
          <t>NB8500</t>
        </is>
      </c>
      <c r="C4" s="8" t="inlineStr">
        <is>
          <t>2022</t>
        </is>
      </c>
      <c r="D4" s="8" t="inlineStr">
        <is>
          <t>Freightliner</t>
        </is>
      </c>
      <c r="E4" s="9" t="inlineStr">
        <is>
          <t xml:space="preserve">PT1 </t>
        </is>
      </c>
      <c r="F4" s="8" t="inlineStr">
        <is>
          <t xml:space="preserve"> ≈ 413,714</t>
        </is>
      </c>
      <c r="G4" s="9" t="n"/>
      <c r="H4" s="10" t="n">
        <v>59000</v>
      </c>
      <c r="I4" s="10" t="n">
        <v>4868.31</v>
      </c>
      <c r="J4" s="11" t="n">
        <v>63868.31</v>
      </c>
      <c r="K4" s="9" t="n"/>
      <c r="L4" s="9" t="n"/>
      <c r="M4" s="10" t="n">
        <v>75000</v>
      </c>
      <c r="N4" s="9" t="n"/>
      <c r="O4" s="9" t="n"/>
      <c r="P4" s="8">
        <f>TODAY() - N4</f>
        <v/>
      </c>
    </row>
    <row r="5" ht="24" customHeight="1">
      <c r="A5" s="4" t="n">
        <v>4</v>
      </c>
      <c r="B5" s="3" t="inlineStr">
        <is>
          <t>NB8652</t>
        </is>
      </c>
      <c r="C5" s="3" t="inlineStr">
        <is>
          <t>2022</t>
        </is>
      </c>
      <c r="D5" s="3" t="inlineStr">
        <is>
          <t>Freightliner</t>
        </is>
      </c>
      <c r="E5" s="2" t="inlineStr">
        <is>
          <t xml:space="preserve">Cascadia </t>
        </is>
      </c>
      <c r="F5" s="3" t="inlineStr">
        <is>
          <t xml:space="preserve"> ≈ 326,900</t>
        </is>
      </c>
      <c r="G5" s="2" t="n"/>
      <c r="H5" s="12" t="n">
        <v>68000</v>
      </c>
      <c r="I5" s="12" t="n">
        <v>1169.49</v>
      </c>
      <c r="J5" s="6" t="n">
        <v>69169.49000000001</v>
      </c>
      <c r="K5" s="2" t="n"/>
      <c r="L5" s="2" t="n"/>
      <c r="M5" s="12" t="n">
        <v>82000</v>
      </c>
      <c r="N5" s="2" t="n"/>
      <c r="O5" s="2" t="n"/>
      <c r="P5" s="3">
        <f>TODAY() - N5</f>
        <v/>
      </c>
    </row>
    <row r="6" ht="24" customHeight="1">
      <c r="A6" s="7" t="n">
        <v>5</v>
      </c>
      <c r="B6" s="8" t="inlineStr">
        <is>
          <t>060000</t>
        </is>
      </c>
      <c r="C6" s="8" t="inlineStr">
        <is>
          <t>2020</t>
        </is>
      </c>
      <c r="D6" s="8" t="inlineStr">
        <is>
          <t>Freightliner</t>
        </is>
      </c>
      <c r="E6" s="9" t="inlineStr">
        <is>
          <t xml:space="preserve">Cascadia </t>
        </is>
      </c>
      <c r="F6" s="8" t="inlineStr">
        <is>
          <t>≈275,000</t>
        </is>
      </c>
      <c r="G6" s="9" t="n"/>
      <c r="H6" s="10" t="n"/>
      <c r="I6" s="10" t="n">
        <v>0</v>
      </c>
      <c r="J6" s="11" t="n"/>
      <c r="K6" s="9" t="n"/>
      <c r="L6" s="9" t="n"/>
      <c r="M6" s="10" t="n">
        <v>54995</v>
      </c>
      <c r="N6" s="9" t="n"/>
      <c r="O6" s="9" t="n"/>
      <c r="P6" s="8">
        <f>TODAY() - N6</f>
        <v/>
      </c>
    </row>
    <row r="7" ht="24" customHeight="1">
      <c r="A7" s="4" t="n">
        <v>6</v>
      </c>
      <c r="B7" s="3" t="inlineStr">
        <is>
          <t>NB8655</t>
        </is>
      </c>
      <c r="C7" s="3" t="inlineStr">
        <is>
          <t>2022</t>
        </is>
      </c>
      <c r="D7" s="3" t="inlineStr">
        <is>
          <t>Freightliner</t>
        </is>
      </c>
      <c r="E7" s="2" t="inlineStr">
        <is>
          <t xml:space="preserve">Cascadia </t>
        </is>
      </c>
      <c r="F7" s="3" t="inlineStr">
        <is>
          <t xml:space="preserve"> ≈ 0</t>
        </is>
      </c>
      <c r="G7" s="2" t="n"/>
      <c r="H7" s="12" t="n">
        <v>68000</v>
      </c>
      <c r="I7" s="12" t="n">
        <v>0</v>
      </c>
      <c r="J7" s="6" t="n">
        <v>68000</v>
      </c>
      <c r="K7" s="2" t="n"/>
      <c r="L7" s="2" t="n"/>
      <c r="M7" s="12" t="n">
        <v>82000</v>
      </c>
      <c r="N7" s="2" t="n"/>
      <c r="O7" s="2" t="n"/>
      <c r="P7" s="3">
        <f>TODAY() - N7</f>
        <v/>
      </c>
    </row>
    <row r="8" ht="24" customHeight="1">
      <c r="A8" s="7" t="n">
        <v>7</v>
      </c>
      <c r="B8" s="8" t="inlineStr">
        <is>
          <t>NB8534</t>
        </is>
      </c>
      <c r="C8" s="8" t="inlineStr">
        <is>
          <t>2022</t>
        </is>
      </c>
      <c r="D8" s="8" t="inlineStr">
        <is>
          <t>Freightliner</t>
        </is>
      </c>
      <c r="E8" s="9" t="inlineStr">
        <is>
          <t xml:space="preserve">Cascadia </t>
        </is>
      </c>
      <c r="F8" s="8" t="inlineStr">
        <is>
          <t xml:space="preserve"> ≈328,857</t>
        </is>
      </c>
      <c r="G8" s="9" t="n"/>
      <c r="H8" s="10" t="n">
        <v>68000</v>
      </c>
      <c r="I8" s="10" t="n">
        <v>0</v>
      </c>
      <c r="J8" s="11" t="n">
        <v>68000</v>
      </c>
      <c r="K8" s="9" t="n"/>
      <c r="L8" s="9" t="n"/>
      <c r="M8" s="10" t="n">
        <v>82000</v>
      </c>
      <c r="N8" s="9" t="n"/>
      <c r="O8" s="9" t="n"/>
      <c r="P8" s="8">
        <f>TODAY() - N8</f>
        <v/>
      </c>
    </row>
    <row r="9" ht="24" customHeight="1">
      <c r="A9" s="4" t="n">
        <v>8</v>
      </c>
      <c r="B9" s="3" t="inlineStr">
        <is>
          <t>UB1211</t>
        </is>
      </c>
      <c r="C9" s="3" t="inlineStr">
        <is>
          <t>2023</t>
        </is>
      </c>
      <c r="D9" s="3" t="inlineStr">
        <is>
          <t>Freightliner</t>
        </is>
      </c>
      <c r="E9" s="2" t="inlineStr">
        <is>
          <t xml:space="preserve">Cascadia </t>
        </is>
      </c>
      <c r="F9" s="3" t="inlineStr">
        <is>
          <t xml:space="preserve"> ≈248,056</t>
        </is>
      </c>
      <c r="G9" s="2" t="n"/>
      <c r="H9" s="12" t="n">
        <v>77000</v>
      </c>
      <c r="I9" s="12" t="n">
        <v>0</v>
      </c>
      <c r="J9" s="6" t="n">
        <v>77000</v>
      </c>
      <c r="K9" s="2" t="n"/>
      <c r="L9" s="2" t="n"/>
      <c r="M9" s="12" t="n">
        <v>93000</v>
      </c>
      <c r="N9" s="2" t="n"/>
      <c r="O9" s="2" t="n"/>
      <c r="P9" s="3">
        <f>TODAY() - N9</f>
        <v/>
      </c>
    </row>
    <row r="10" ht="24" customHeight="1">
      <c r="A10" s="7" t="n">
        <v>9</v>
      </c>
      <c r="B10" s="8" t="inlineStr">
        <is>
          <t>UB1283</t>
        </is>
      </c>
      <c r="C10" s="8" t="inlineStr">
        <is>
          <t>2023</t>
        </is>
      </c>
      <c r="D10" s="8" t="inlineStr">
        <is>
          <t>Freightliner</t>
        </is>
      </c>
      <c r="E10" s="9" t="inlineStr">
        <is>
          <t xml:space="preserve">Cascadia </t>
        </is>
      </c>
      <c r="F10" s="8" t="inlineStr">
        <is>
          <t xml:space="preserve"> ≈ 284,509</t>
        </is>
      </c>
      <c r="G10" s="9" t="n"/>
      <c r="H10" s="10" t="n">
        <v>74000</v>
      </c>
      <c r="I10" s="10" t="n">
        <v>0</v>
      </c>
      <c r="J10" s="11" t="n">
        <v>74000</v>
      </c>
      <c r="K10" s="9" t="n"/>
      <c r="L10" s="9" t="n"/>
      <c r="M10" s="10" t="n">
        <v>92000</v>
      </c>
      <c r="N10" s="9" t="n"/>
      <c r="O10" s="9" t="n"/>
      <c r="P10" s="8">
        <f>TODAY() - N10</f>
        <v/>
      </c>
    </row>
    <row r="11" ht="24" customHeight="1">
      <c r="A11" s="4" t="n">
        <v>10</v>
      </c>
      <c r="B11" s="3" t="inlineStr">
        <is>
          <t>KX3999</t>
        </is>
      </c>
      <c r="C11" s="3" t="n">
        <v>2019</v>
      </c>
      <c r="D11" s="3" t="inlineStr">
        <is>
          <t>Freightliner</t>
        </is>
      </c>
      <c r="E11" s="2" t="inlineStr">
        <is>
          <t xml:space="preserve">Cascadia </t>
        </is>
      </c>
      <c r="F11" s="3" t="inlineStr">
        <is>
          <t>Not Found</t>
        </is>
      </c>
      <c r="G11" s="2" t="n"/>
      <c r="H11" s="12" t="n">
        <v>18500</v>
      </c>
      <c r="I11" s="12" t="n">
        <v>2002.34</v>
      </c>
      <c r="J11" s="6" t="n">
        <v>20502.34</v>
      </c>
      <c r="K11" s="2" t="n"/>
      <c r="L11" s="2" t="n"/>
      <c r="M11" s="12" t="n">
        <v>29995</v>
      </c>
      <c r="N11" s="2" t="n"/>
      <c r="O11" s="2" t="n"/>
      <c r="P11" s="3" t="n"/>
    </row>
    <row r="12" ht="24" customHeight="1">
      <c r="A12" s="7" t="n">
        <v>11</v>
      </c>
      <c r="B12" s="8" t="inlineStr">
        <is>
          <t>172267</t>
        </is>
      </c>
      <c r="C12" s="8" t="n">
        <v>2022</v>
      </c>
      <c r="D12" s="8" t="inlineStr">
        <is>
          <t>International</t>
        </is>
      </c>
      <c r="E12" s="9" t="inlineStr">
        <is>
          <t xml:space="preserve">LT </t>
        </is>
      </c>
      <c r="F12" s="8" t="inlineStr">
        <is>
          <t>Not Found</t>
        </is>
      </c>
      <c r="G12" s="9" t="n"/>
      <c r="H12" s="10" t="n">
        <v>42000</v>
      </c>
      <c r="I12" s="10" t="n">
        <v>1100</v>
      </c>
      <c r="J12" s="11" t="n">
        <v>43100</v>
      </c>
      <c r="K12" s="9" t="n"/>
      <c r="L12" s="9" t="n"/>
      <c r="M12" s="10" t="n">
        <v>62995</v>
      </c>
      <c r="N12" s="9" t="n"/>
      <c r="O12" s="9" t="n"/>
      <c r="P12" s="8" t="n"/>
    </row>
    <row r="13" ht="24" customHeight="1">
      <c r="A13" s="4" t="n">
        <v>12</v>
      </c>
      <c r="B13" s="3" t="inlineStr">
        <is>
          <t>403908</t>
        </is>
      </c>
      <c r="C13" s="3" t="n">
        <v>2022</v>
      </c>
      <c r="D13" s="3" t="inlineStr">
        <is>
          <t>International</t>
        </is>
      </c>
      <c r="E13" s="2" t="inlineStr">
        <is>
          <t xml:space="preserve">MV </t>
        </is>
      </c>
      <c r="F13" s="3" t="inlineStr">
        <is>
          <t xml:space="preserve"> 181,800</t>
        </is>
      </c>
      <c r="G13" s="2" t="n"/>
      <c r="H13" s="12" t="n">
        <v>31000</v>
      </c>
      <c r="I13" s="12" t="n">
        <v>0</v>
      </c>
      <c r="J13" s="6" t="n">
        <v>31000</v>
      </c>
      <c r="K13" s="2" t="n"/>
      <c r="L13" s="2" t="n"/>
      <c r="M13" s="12" t="n"/>
      <c r="N13" s="2" t="n"/>
      <c r="O13" s="2" t="n"/>
      <c r="P13" s="3" t="n"/>
    </row>
    <row r="14" ht="24" customHeight="1">
      <c r="A14" s="7" t="n">
        <v>13</v>
      </c>
      <c r="B14" s="8" t="inlineStr">
        <is>
          <t>590393</t>
        </is>
      </c>
      <c r="C14" s="8" t="n">
        <v>2021</v>
      </c>
      <c r="D14" s="8" t="inlineStr">
        <is>
          <t>International</t>
        </is>
      </c>
      <c r="E14" s="9" t="inlineStr">
        <is>
          <t xml:space="preserve">MV </t>
        </is>
      </c>
      <c r="F14" s="8" t="inlineStr">
        <is>
          <t xml:space="preserve"> 113,000</t>
        </is>
      </c>
      <c r="G14" s="9" t="n"/>
      <c r="H14" s="10" t="n">
        <v>31000</v>
      </c>
      <c r="I14" s="10" t="n">
        <v>3000</v>
      </c>
      <c r="J14" s="11" t="n">
        <v>34000</v>
      </c>
      <c r="K14" s="9" t="n"/>
      <c r="L14" s="9" t="n"/>
      <c r="M14" s="10" t="n">
        <v>49995</v>
      </c>
      <c r="N14" s="9" t="n"/>
      <c r="O14" s="9" t="n"/>
      <c r="P14" s="8" t="n"/>
    </row>
    <row r="15" ht="24" customHeight="1">
      <c r="A15" s="4" t="n">
        <v>14</v>
      </c>
      <c r="B15" s="3" t="inlineStr">
        <is>
          <t>135882</t>
        </is>
      </c>
      <c r="C15" s="3" t="n">
        <v>2020</v>
      </c>
      <c r="D15" s="3" t="inlineStr">
        <is>
          <t>International</t>
        </is>
      </c>
      <c r="E15" s="2" t="inlineStr">
        <is>
          <t xml:space="preserve">MV </t>
        </is>
      </c>
      <c r="F15" s="3" t="inlineStr">
        <is>
          <t xml:space="preserve"> 186,900</t>
        </is>
      </c>
      <c r="G15" s="2" t="n"/>
      <c r="H15" s="12" t="n">
        <v>23000</v>
      </c>
      <c r="I15" s="12" t="n">
        <v>0</v>
      </c>
      <c r="J15" s="6" t="n">
        <v>23000</v>
      </c>
      <c r="K15" s="2" t="n"/>
      <c r="L15" s="2" t="n"/>
      <c r="M15" s="12" t="n"/>
      <c r="N15" s="2" t="n"/>
      <c r="O15" s="2" t="n"/>
      <c r="P15" s="3" t="n"/>
    </row>
    <row r="16" ht="24" customHeight="1">
      <c r="A16" s="7" t="n">
        <v>15</v>
      </c>
      <c r="B16" s="8" t="inlineStr">
        <is>
          <t>NA5603</t>
        </is>
      </c>
      <c r="C16" s="8" t="inlineStr">
        <is>
          <t>2022</t>
        </is>
      </c>
      <c r="D16" s="8" t="inlineStr">
        <is>
          <t>Freightliner</t>
        </is>
      </c>
      <c r="E16" s="9" t="inlineStr">
        <is>
          <t xml:space="preserve">Cascadia </t>
        </is>
      </c>
      <c r="F16" s="8" t="inlineStr">
        <is>
          <t xml:space="preserve"> ≈330,406</t>
        </is>
      </c>
      <c r="G16" s="9" t="n"/>
      <c r="H16" s="10" t="n">
        <v>68000</v>
      </c>
      <c r="I16" s="10" t="n">
        <v>500</v>
      </c>
      <c r="J16" s="11" t="n">
        <v>68500</v>
      </c>
      <c r="K16" s="9" t="n"/>
      <c r="L16" s="9" t="n"/>
      <c r="M16" s="10" t="n">
        <v>82000</v>
      </c>
      <c r="N16" s="9" t="n"/>
      <c r="O16" s="9" t="n"/>
      <c r="P16" s="8">
        <f>TODAY() - N16</f>
        <v/>
      </c>
    </row>
    <row r="17" ht="24" customHeight="1">
      <c r="A17" s="4" t="n">
        <v>16</v>
      </c>
      <c r="B17" s="3" t="inlineStr">
        <is>
          <t>LG9572</t>
        </is>
      </c>
      <c r="C17" s="3" t="inlineStr">
        <is>
          <t>2020</t>
        </is>
      </c>
      <c r="D17" s="3" t="inlineStr">
        <is>
          <t>Freightliner</t>
        </is>
      </c>
      <c r="E17" s="2" t="inlineStr">
        <is>
          <t xml:space="preserve">Cascadia </t>
        </is>
      </c>
      <c r="F17" s="3" t="inlineStr">
        <is>
          <t xml:space="preserve"> ≈ 235,265</t>
        </is>
      </c>
      <c r="G17" s="2" t="n"/>
      <c r="H17" s="12" t="n">
        <v>33563</v>
      </c>
      <c r="I17" s="12" t="n">
        <v>500</v>
      </c>
      <c r="J17" s="6" t="n">
        <v>34063</v>
      </c>
      <c r="K17" s="2" t="n"/>
      <c r="L17" s="2" t="n"/>
      <c r="M17" s="12" t="n">
        <v>54995</v>
      </c>
      <c r="N17" s="2" t="n"/>
      <c r="O17" s="2" t="n"/>
      <c r="P17" s="3">
        <f>TODAY() - N17</f>
        <v/>
      </c>
    </row>
    <row r="18" ht="24" customHeight="1">
      <c r="A18" s="7" t="n">
        <v>17</v>
      </c>
      <c r="B18" s="8" t="inlineStr">
        <is>
          <t>UB1239</t>
        </is>
      </c>
      <c r="C18" s="8" t="inlineStr">
        <is>
          <t>2023</t>
        </is>
      </c>
      <c r="D18" s="8" t="inlineStr">
        <is>
          <t>Freightliner</t>
        </is>
      </c>
      <c r="E18" s="9" t="inlineStr">
        <is>
          <t xml:space="preserve">Cascadia </t>
        </is>
      </c>
      <c r="F18" s="8" t="inlineStr">
        <is>
          <t xml:space="preserve"> ≈ 252,879</t>
        </is>
      </c>
      <c r="G18" s="9" t="n"/>
      <c r="H18" s="10" t="n">
        <v>74000</v>
      </c>
      <c r="I18" s="10" t="n">
        <v>0</v>
      </c>
      <c r="J18" s="11" t="n">
        <v>74000</v>
      </c>
      <c r="K18" s="9" t="n"/>
      <c r="L18" s="9" t="n"/>
      <c r="M18" s="10" t="n">
        <v>92000</v>
      </c>
      <c r="N18" s="9" t="n"/>
      <c r="O18" s="9" t="n"/>
      <c r="P18" s="8">
        <f>TODAY() - N18</f>
        <v/>
      </c>
    </row>
    <row r="19" ht="24" customHeight="1">
      <c r="A19" s="4" t="n">
        <v>18</v>
      </c>
      <c r="B19" s="3" t="inlineStr">
        <is>
          <t>UB1278</t>
        </is>
      </c>
      <c r="C19" s="3" t="inlineStr">
        <is>
          <t>2023</t>
        </is>
      </c>
      <c r="D19" s="3" t="inlineStr">
        <is>
          <t>Freightliner</t>
        </is>
      </c>
      <c r="E19" s="2" t="inlineStr">
        <is>
          <t xml:space="preserve">Cascadia </t>
        </is>
      </c>
      <c r="F19" s="3" t="inlineStr">
        <is>
          <t xml:space="preserve"> ≈320,530</t>
        </is>
      </c>
      <c r="G19" s="2" t="n"/>
      <c r="H19" s="12" t="n">
        <v>72000</v>
      </c>
      <c r="I19" s="12" t="n">
        <v>0</v>
      </c>
      <c r="J19" s="6" t="n">
        <v>72000</v>
      </c>
      <c r="K19" s="2" t="n"/>
      <c r="L19" s="2" t="n"/>
      <c r="M19" s="12" t="n">
        <v>92000</v>
      </c>
      <c r="N19" s="2" t="n"/>
      <c r="O19" s="2" t="n"/>
      <c r="P19" s="3">
        <f>TODAY() - N19</f>
        <v/>
      </c>
    </row>
    <row r="20" ht="24" customHeight="1">
      <c r="A20" s="7" t="n">
        <v>19</v>
      </c>
      <c r="B20" s="8" t="inlineStr">
        <is>
          <t>869984</t>
        </is>
      </c>
      <c r="C20" s="8" t="inlineStr">
        <is>
          <t>2022</t>
        </is>
      </c>
      <c r="D20" s="8" t="inlineStr">
        <is>
          <t>International</t>
        </is>
      </c>
      <c r="E20" s="9" t="inlineStr">
        <is>
          <t xml:space="preserve">MV </t>
        </is>
      </c>
      <c r="F20" s="8" t="inlineStr">
        <is>
          <t xml:space="preserve"> ≈172,303</t>
        </is>
      </c>
      <c r="G20" s="9" t="n"/>
      <c r="H20" s="10" t="n">
        <v>27000</v>
      </c>
      <c r="I20" s="10" t="n">
        <v>0</v>
      </c>
      <c r="J20" s="11" t="n">
        <v>27000</v>
      </c>
      <c r="K20" s="9" t="n"/>
      <c r="L20" s="9" t="n"/>
      <c r="M20" s="10" t="n">
        <v>42995</v>
      </c>
      <c r="N20" s="9" t="n"/>
      <c r="O20" s="9" t="n"/>
      <c r="P20" s="8">
        <f>TODAY() - N20</f>
        <v/>
      </c>
    </row>
    <row r="21" ht="24" customHeight="1">
      <c r="A21" s="4" t="n">
        <v>20</v>
      </c>
      <c r="B21" s="3" t="inlineStr">
        <is>
          <t>KV9337</t>
        </is>
      </c>
      <c r="C21" s="3" t="n">
        <v>2019</v>
      </c>
      <c r="D21" s="3" t="inlineStr">
        <is>
          <t>Freightliner</t>
        </is>
      </c>
      <c r="E21" s="2" t="inlineStr">
        <is>
          <t xml:space="preserve">Cascadia 126 </t>
        </is>
      </c>
      <c r="F21" s="3" t="inlineStr">
        <is>
          <t xml:space="preserve"> 481,500</t>
        </is>
      </c>
      <c r="G21" s="2" t="n"/>
      <c r="H21" s="12" t="n">
        <v>21000</v>
      </c>
      <c r="I21" s="12" t="n">
        <v>0</v>
      </c>
      <c r="J21" s="6" t="n">
        <v>21000</v>
      </c>
      <c r="K21" s="2" t="n"/>
      <c r="L21" s="2" t="n"/>
      <c r="M21" s="12" t="n"/>
      <c r="N21" s="2" t="n"/>
      <c r="O21" s="2" t="n"/>
      <c r="P21" s="3" t="n"/>
    </row>
    <row r="22" ht="24" customHeight="1">
      <c r="H22" s="11">
        <f>SUM(H2:H21)</f>
        <v/>
      </c>
      <c r="J22" s="11">
        <f>SUM(J2:J21)</f>
        <v/>
      </c>
      <c r="M22" s="11">
        <f>SUM(M2:M21)</f>
        <v/>
      </c>
    </row>
    <row r="23" ht="24" customHeight="1"/>
    <row r="24" ht="24" customHeight="1">
      <c r="A24" s="13" t="inlineStr">
        <is>
          <t>Created On - 12/28/2025</t>
        </is>
      </c>
    </row>
  </sheetData>
  <mergeCells count="1">
    <mergeCell ref="A24:P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2025-12-29T00:05:39Z</dcterms:created>
  <dcterms:modified xsi:type="dcterms:W3CDTF">2025-12-29T00:05:40Z</dcterms:modified>
</cp:coreProperties>
</file>